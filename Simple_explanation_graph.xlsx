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Root\Github Repositories\Repo_Seismic_Desing\"/>
    </mc:Choice>
  </mc:AlternateContent>
  <xr:revisionPtr revIDLastSave="0" documentId="13_ncr:1_{8A475E47-3DDA-4927-B110-37918B71BE54}" xr6:coauthVersionLast="47" xr6:coauthVersionMax="47" xr10:uidLastSave="{00000000-0000-0000-0000-000000000000}"/>
  <bookViews>
    <workbookView xWindow="-120" yWindow="-120" windowWidth="29040" windowHeight="15720" xr2:uid="{54E10262-5C34-4AD5-87B4-777128C54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" i="1" l="1"/>
  <c r="C58" i="1"/>
</calcChain>
</file>

<file path=xl/sharedStrings.xml><?xml version="1.0" encoding="utf-8"?>
<sst xmlns="http://schemas.openxmlformats.org/spreadsheetml/2006/main" count="55" uniqueCount="28">
  <si>
    <t>K</t>
  </si>
  <si>
    <t>d1</t>
  </si>
  <si>
    <t>d2</t>
  </si>
  <si>
    <t>d3</t>
  </si>
  <si>
    <t>M</t>
  </si>
  <si>
    <t>L</t>
  </si>
  <si>
    <t>Modal excitation factor</t>
  </si>
  <si>
    <t>T1</t>
  </si>
  <si>
    <t>T2</t>
  </si>
  <si>
    <t>T3</t>
  </si>
  <si>
    <t>Meff</t>
  </si>
  <si>
    <t>Effective Modal Mass [%]</t>
  </si>
  <si>
    <t>Meff_acum</t>
  </si>
  <si>
    <t>Cumulative Effective Mass [%]</t>
  </si>
  <si>
    <t>qn1</t>
  </si>
  <si>
    <t>qn2</t>
  </si>
  <si>
    <t>qn3</t>
  </si>
  <si>
    <t>Desplazamientos qn</t>
  </si>
  <si>
    <t>Qn1</t>
  </si>
  <si>
    <t>Qn2</t>
  </si>
  <si>
    <t>Qn3</t>
  </si>
  <si>
    <t>Fuerzas Laterales Qn</t>
  </si>
  <si>
    <t>qn_SRSS</t>
  </si>
  <si>
    <t>Qn_SRSS</t>
  </si>
  <si>
    <t>qn_CQC</t>
  </si>
  <si>
    <t>Qn_CQC</t>
  </si>
  <si>
    <t>VSRSS</t>
  </si>
  <si>
    <t>VCQC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</si>
</sst>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10</xdr:col>
      <xdr:colOff>290884</xdr:colOff>
      <xdr:row>15</xdr:row>
      <xdr:rowOff>112159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84196-189A-B721-25F4-3A1884598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737"/>
          <a:ext cx="6393728" cy="8650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17</xdr:col>
      <xdr:colOff>58218</xdr:colOff>
      <xdr:row>17</xdr:row>
      <xdr:rowOff>65933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74B963-208C-4DD3-8FB5-278173AB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3129" y="0"/>
          <a:ext cx="3719924" cy="3316981"/>
        </a:xfrm>
        <a:prstGeom prst="rect">
          <a:avLst/>
        </a:prstGeom>
      </xdr:spPr>
    </xdr:pic>
    <xdr:clientData/>
  </xdr:twoCellAnchor>
  <xdr:twoCellAnchor>
    <xdr:from>
      <xdr:col>11</xdr:col>
      <xdr:colOff>530434</xdr:colOff>
      <xdr:row>13</xdr:row>
      <xdr:rowOff>17110</xdr:rowOff>
    </xdr:from>
    <xdr:to>
      <xdr:col>13</xdr:col>
      <xdr:colOff>114071</xdr:colOff>
      <xdr:row>14</xdr:row>
      <xdr:rowOff>91257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C5F0588-CB39-08F8-369D-50D303502B83}"/>
            </a:ext>
          </a:extLst>
        </xdr:cNvPr>
        <xdr:cNvSpPr txBox="1"/>
      </xdr:nvSpPr>
      <xdr:spPr>
        <a:xfrm>
          <a:off x="7243563" y="2515284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L1 = 4.82</a:t>
          </a:r>
        </a:p>
      </xdr:txBody>
    </xdr:sp>
    <xdr:clientData/>
  </xdr:twoCellAnchor>
  <xdr:twoCellAnchor>
    <xdr:from>
      <xdr:col>13</xdr:col>
      <xdr:colOff>414765</xdr:colOff>
      <xdr:row>11</xdr:row>
      <xdr:rowOff>180917</xdr:rowOff>
    </xdr:from>
    <xdr:to>
      <xdr:col>14</xdr:col>
      <xdr:colOff>608687</xdr:colOff>
      <xdr:row>13</xdr:row>
      <xdr:rowOff>66845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6743AA-7CB9-44DD-A21D-A06E91801368}"/>
            </a:ext>
          </a:extLst>
        </xdr:cNvPr>
        <xdr:cNvSpPr txBox="1"/>
      </xdr:nvSpPr>
      <xdr:spPr>
        <a:xfrm>
          <a:off x="8348463" y="2302654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L2 = -1.38</a:t>
          </a:r>
        </a:p>
      </xdr:txBody>
    </xdr:sp>
    <xdr:clientData/>
  </xdr:twoCellAnchor>
  <xdr:twoCellAnchor>
    <xdr:from>
      <xdr:col>15</xdr:col>
      <xdr:colOff>393549</xdr:colOff>
      <xdr:row>11</xdr:row>
      <xdr:rowOff>131183</xdr:rowOff>
    </xdr:from>
    <xdr:to>
      <xdr:col>16</xdr:col>
      <xdr:colOff>587470</xdr:colOff>
      <xdr:row>13</xdr:row>
      <xdr:rowOff>17111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DB6F90-6EEA-4AF6-8414-9C866709A091}"/>
            </a:ext>
          </a:extLst>
        </xdr:cNvPr>
        <xdr:cNvSpPr txBox="1"/>
      </xdr:nvSpPr>
      <xdr:spPr>
        <a:xfrm>
          <a:off x="9547815" y="2252920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L3 = -0.53</a:t>
          </a:r>
        </a:p>
      </xdr:txBody>
    </xdr:sp>
    <xdr:clientData/>
  </xdr:twoCellAnchor>
  <xdr:twoCellAnchor>
    <xdr:from>
      <xdr:col>11</xdr:col>
      <xdr:colOff>285181</xdr:colOff>
      <xdr:row>11</xdr:row>
      <xdr:rowOff>169510</xdr:rowOff>
    </xdr:from>
    <xdr:to>
      <xdr:col>13</xdr:col>
      <xdr:colOff>106771</xdr:colOff>
      <xdr:row>13</xdr:row>
      <xdr:rowOff>55438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063472-B2E1-4F80-BED1-091AE1383533}"/>
            </a:ext>
          </a:extLst>
        </xdr:cNvPr>
        <xdr:cNvSpPr txBox="1"/>
      </xdr:nvSpPr>
      <xdr:spPr>
        <a:xfrm>
          <a:off x="6998310" y="2291247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Meff1 = 91.40</a:t>
          </a:r>
        </a:p>
      </xdr:txBody>
    </xdr:sp>
    <xdr:clientData/>
  </xdr:twoCellAnchor>
  <xdr:twoCellAnchor>
    <xdr:from>
      <xdr:col>13</xdr:col>
      <xdr:colOff>317805</xdr:colOff>
      <xdr:row>10</xdr:row>
      <xdr:rowOff>185024</xdr:rowOff>
    </xdr:from>
    <xdr:to>
      <xdr:col>15</xdr:col>
      <xdr:colOff>139396</xdr:colOff>
      <xdr:row>12</xdr:row>
      <xdr:rowOff>70952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51D52BA-4DEF-4AF9-A7D7-E0067EF4A7FF}"/>
            </a:ext>
          </a:extLst>
        </xdr:cNvPr>
        <xdr:cNvSpPr txBox="1"/>
      </xdr:nvSpPr>
      <xdr:spPr>
        <a:xfrm>
          <a:off x="8251503" y="2118542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Meff2 = 7.48</a:t>
          </a:r>
        </a:p>
      </xdr:txBody>
    </xdr:sp>
    <xdr:clientData/>
  </xdr:twoCellAnchor>
  <xdr:twoCellAnchor>
    <xdr:from>
      <xdr:col>15</xdr:col>
      <xdr:colOff>268070</xdr:colOff>
      <xdr:row>10</xdr:row>
      <xdr:rowOff>182515</xdr:rowOff>
    </xdr:from>
    <xdr:to>
      <xdr:col>17</xdr:col>
      <xdr:colOff>89660</xdr:colOff>
      <xdr:row>12</xdr:row>
      <xdr:rowOff>68443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ACAB22-546A-45B0-863E-94FB9A8F4411}"/>
            </a:ext>
          </a:extLst>
        </xdr:cNvPr>
        <xdr:cNvSpPr txBox="1"/>
      </xdr:nvSpPr>
      <xdr:spPr>
        <a:xfrm>
          <a:off x="9422336" y="2116033"/>
          <a:ext cx="1042159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2">
                  <a:lumMod val="75000"/>
                </a:schemeClr>
              </a:solidFill>
            </a:rPr>
            <a:t>Meff3 = 1.10</a:t>
          </a:r>
        </a:p>
      </xdr:txBody>
    </xdr:sp>
    <xdr:clientData/>
  </xdr:twoCellAnchor>
  <xdr:twoCellAnchor>
    <xdr:from>
      <xdr:col>11</xdr:col>
      <xdr:colOff>391953</xdr:colOff>
      <xdr:row>8</xdr:row>
      <xdr:rowOff>42434</xdr:rowOff>
    </xdr:from>
    <xdr:to>
      <xdr:col>13</xdr:col>
      <xdr:colOff>213543</xdr:colOff>
      <xdr:row>10</xdr:row>
      <xdr:rowOff>102665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9544A55-7778-4B90-A375-10D27687CC6A}"/>
            </a:ext>
          </a:extLst>
        </xdr:cNvPr>
        <xdr:cNvSpPr txBox="1"/>
      </xdr:nvSpPr>
      <xdr:spPr>
        <a:xfrm>
          <a:off x="7105082" y="1599515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Meff1_acun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91.40</a:t>
          </a:r>
        </a:p>
      </xdr:txBody>
    </xdr:sp>
    <xdr:clientData/>
  </xdr:twoCellAnchor>
  <xdr:twoCellAnchor>
    <xdr:from>
      <xdr:col>13</xdr:col>
      <xdr:colOff>367542</xdr:colOff>
      <xdr:row>8</xdr:row>
      <xdr:rowOff>40837</xdr:rowOff>
    </xdr:from>
    <xdr:to>
      <xdr:col>15</xdr:col>
      <xdr:colOff>189133</xdr:colOff>
      <xdr:row>10</xdr:row>
      <xdr:rowOff>101068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91D3D0E-24DF-4C01-BB97-7684B647DDBE}"/>
            </a:ext>
          </a:extLst>
        </xdr:cNvPr>
        <xdr:cNvSpPr txBox="1"/>
      </xdr:nvSpPr>
      <xdr:spPr>
        <a:xfrm>
          <a:off x="8301240" y="1597918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Meff2_acun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98.89</a:t>
          </a:r>
        </a:p>
      </xdr:txBody>
    </xdr:sp>
    <xdr:clientData/>
  </xdr:twoCellAnchor>
  <xdr:twoCellAnchor>
    <xdr:from>
      <xdr:col>15</xdr:col>
      <xdr:colOff>273773</xdr:colOff>
      <xdr:row>7</xdr:row>
      <xdr:rowOff>153997</xdr:rowOff>
    </xdr:from>
    <xdr:to>
      <xdr:col>17</xdr:col>
      <xdr:colOff>95363</xdr:colOff>
      <xdr:row>10</xdr:row>
      <xdr:rowOff>26009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7B7E6C-4D62-4D80-B244-FFA098D535C2}"/>
            </a:ext>
          </a:extLst>
        </xdr:cNvPr>
        <xdr:cNvSpPr txBox="1"/>
      </xdr:nvSpPr>
      <xdr:spPr>
        <a:xfrm>
          <a:off x="9428039" y="1522859"/>
          <a:ext cx="1042159" cy="436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Meff3_acun</a:t>
          </a:r>
        </a:p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 = 100</a:t>
          </a:r>
        </a:p>
      </xdr:txBody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18</xdr:col>
      <xdr:colOff>458625</xdr:colOff>
      <xdr:row>37</xdr:row>
      <xdr:rowOff>153876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CD8401-0465-4687-B176-CADA1818B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1422" y="3251048"/>
          <a:ext cx="8392323" cy="3918247"/>
        </a:xfrm>
        <a:prstGeom prst="rect">
          <a:avLst/>
        </a:prstGeom>
      </xdr:spPr>
    </xdr:pic>
    <xdr:clientData/>
  </xdr:twoCellAnchor>
  <xdr:twoCellAnchor editAs="oneCell">
    <xdr:from>
      <xdr:col>9</xdr:col>
      <xdr:colOff>211033</xdr:colOff>
      <xdr:row>34</xdr:row>
      <xdr:rowOff>74147</xdr:rowOff>
    </xdr:from>
    <xdr:to>
      <xdr:col>10</xdr:col>
      <xdr:colOff>99650</xdr:colOff>
      <xdr:row>40</xdr:row>
      <xdr:rowOff>143987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C50E5B-FC2D-B938-1E10-563B140B2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03593" y="6524910"/>
          <a:ext cx="498901" cy="1199152"/>
        </a:xfrm>
        <a:prstGeom prst="rect">
          <a:avLst/>
        </a:prstGeom>
      </xdr:spPr>
    </xdr:pic>
    <xdr:clientData/>
  </xdr:twoCellAnchor>
  <xdr:twoCellAnchor editAs="oneCell">
    <xdr:from>
      <xdr:col>6</xdr:col>
      <xdr:colOff>604582</xdr:colOff>
      <xdr:row>34</xdr:row>
      <xdr:rowOff>25282</xdr:rowOff>
    </xdr:from>
    <xdr:to>
      <xdr:col>7</xdr:col>
      <xdr:colOff>461991</xdr:colOff>
      <xdr:row>40</xdr:row>
      <xdr:rowOff>99932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0D3C35-66E6-6CEC-8E59-D3548D98A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6289" y="6476045"/>
          <a:ext cx="467693" cy="1203962"/>
        </a:xfrm>
        <a:prstGeom prst="rect">
          <a:avLst/>
        </a:prstGeom>
      </xdr:spPr>
    </xdr:pic>
    <xdr:clientData/>
  </xdr:twoCellAnchor>
  <xdr:twoCellAnchor editAs="oneCell">
    <xdr:from>
      <xdr:col>5</xdr:col>
      <xdr:colOff>325106</xdr:colOff>
      <xdr:row>33</xdr:row>
      <xdr:rowOff>142590</xdr:rowOff>
    </xdr:from>
    <xdr:to>
      <xdr:col>6</xdr:col>
      <xdr:colOff>180516</xdr:colOff>
      <xdr:row>40</xdr:row>
      <xdr:rowOff>54306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EDE88F-6414-1810-2CC0-57D747920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6528" y="6405135"/>
          <a:ext cx="465695" cy="1229246"/>
        </a:xfrm>
        <a:prstGeom prst="rect">
          <a:avLst/>
        </a:prstGeom>
      </xdr:spPr>
    </xdr:pic>
    <xdr:clientData/>
  </xdr:twoCellAnchor>
  <xdr:twoCellAnchor>
    <xdr:from>
      <xdr:col>12</xdr:col>
      <xdr:colOff>179321</xdr:colOff>
      <xdr:row>9</xdr:row>
      <xdr:rowOff>179321</xdr:rowOff>
    </xdr:from>
    <xdr:to>
      <xdr:col>13</xdr:col>
      <xdr:colOff>373242</xdr:colOff>
      <xdr:row>11</xdr:row>
      <xdr:rowOff>65248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187A6F0-F6AC-48BE-9B3E-C20F1BF8FFC3}"/>
            </a:ext>
          </a:extLst>
        </xdr:cNvPr>
        <xdr:cNvSpPr txBox="1"/>
      </xdr:nvSpPr>
      <xdr:spPr>
        <a:xfrm>
          <a:off x="7502734" y="1924620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F1 = 4.68</a:t>
          </a:r>
        </a:p>
      </xdr:txBody>
    </xdr:sp>
    <xdr:clientData/>
  </xdr:twoCellAnchor>
  <xdr:twoCellAnchor>
    <xdr:from>
      <xdr:col>12</xdr:col>
      <xdr:colOff>137799</xdr:colOff>
      <xdr:row>5</xdr:row>
      <xdr:rowOff>29431</xdr:rowOff>
    </xdr:from>
    <xdr:to>
      <xdr:col>13</xdr:col>
      <xdr:colOff>331720</xdr:colOff>
      <xdr:row>6</xdr:row>
      <xdr:rowOff>103577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EBF084-87CF-481F-B6B1-6436BE4073F1}"/>
            </a:ext>
          </a:extLst>
        </xdr:cNvPr>
        <xdr:cNvSpPr txBox="1"/>
      </xdr:nvSpPr>
      <xdr:spPr>
        <a:xfrm>
          <a:off x="7461212" y="1021856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F2 = 8.44</a:t>
          </a:r>
        </a:p>
      </xdr:txBody>
    </xdr:sp>
    <xdr:clientData/>
  </xdr:twoCellAnchor>
  <xdr:twoCellAnchor>
    <xdr:from>
      <xdr:col>12</xdr:col>
      <xdr:colOff>147609</xdr:colOff>
      <xdr:row>1</xdr:row>
      <xdr:rowOff>147609</xdr:rowOff>
    </xdr:from>
    <xdr:to>
      <xdr:col>13</xdr:col>
      <xdr:colOff>341530</xdr:colOff>
      <xdr:row>3</xdr:row>
      <xdr:rowOff>33537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5650DF3-9D71-4C31-B09D-149205CD7FA9}"/>
            </a:ext>
          </a:extLst>
        </xdr:cNvPr>
        <xdr:cNvSpPr txBox="1"/>
      </xdr:nvSpPr>
      <xdr:spPr>
        <a:xfrm>
          <a:off x="7471022" y="387160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F3 = 10.52</a:t>
          </a:r>
        </a:p>
      </xdr:txBody>
    </xdr:sp>
    <xdr:clientData/>
  </xdr:twoCellAnchor>
  <xdr:twoCellAnchor>
    <xdr:from>
      <xdr:col>11</xdr:col>
      <xdr:colOff>353622</xdr:colOff>
      <xdr:row>15</xdr:row>
      <xdr:rowOff>148293</xdr:rowOff>
    </xdr:from>
    <xdr:to>
      <xdr:col>12</xdr:col>
      <xdr:colOff>188219</xdr:colOff>
      <xdr:row>15</xdr:row>
      <xdr:rowOff>165404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2C3CFF8-065B-557E-4939-402F54D15F99}"/>
            </a:ext>
          </a:extLst>
        </xdr:cNvPr>
        <xdr:cNvCxnSpPr/>
      </xdr:nvCxnSpPr>
      <xdr:spPr>
        <a:xfrm flipH="1" flipV="1">
          <a:off x="7066751" y="3022904"/>
          <a:ext cx="444881" cy="1711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183428</xdr:colOff>
      <xdr:row>14</xdr:row>
      <xdr:rowOff>69356</xdr:rowOff>
    </xdr:from>
    <xdr:to>
      <xdr:col>12</xdr:col>
      <xdr:colOff>377350</xdr:colOff>
      <xdr:row>15</xdr:row>
      <xdr:rowOff>143502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1728C3-0ECA-405E-9FD4-975A72AFBF83}"/>
            </a:ext>
          </a:extLst>
        </xdr:cNvPr>
        <xdr:cNvSpPr txBox="1"/>
      </xdr:nvSpPr>
      <xdr:spPr>
        <a:xfrm>
          <a:off x="6896557" y="2755748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VT1 = 23.64</a:t>
          </a:r>
        </a:p>
      </xdr:txBody>
    </xdr:sp>
    <xdr:clientData/>
  </xdr:twoCellAnchor>
  <xdr:twoCellAnchor>
    <xdr:from>
      <xdr:col>12</xdr:col>
      <xdr:colOff>183428</xdr:colOff>
      <xdr:row>10</xdr:row>
      <xdr:rowOff>137798</xdr:rowOff>
    </xdr:from>
    <xdr:to>
      <xdr:col>13</xdr:col>
      <xdr:colOff>377349</xdr:colOff>
      <xdr:row>12</xdr:row>
      <xdr:rowOff>23726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09681AD-A831-4FD7-A877-E10096AA3992}"/>
            </a:ext>
          </a:extLst>
        </xdr:cNvPr>
        <xdr:cNvSpPr txBox="1"/>
      </xdr:nvSpPr>
      <xdr:spPr>
        <a:xfrm>
          <a:off x="7506841" y="2071316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d1 = 0.089</a:t>
          </a:r>
        </a:p>
      </xdr:txBody>
    </xdr:sp>
    <xdr:clientData/>
  </xdr:twoCellAnchor>
  <xdr:twoCellAnchor>
    <xdr:from>
      <xdr:col>12</xdr:col>
      <xdr:colOff>119091</xdr:colOff>
      <xdr:row>6</xdr:row>
      <xdr:rowOff>56350</xdr:rowOff>
    </xdr:from>
    <xdr:to>
      <xdr:col>13</xdr:col>
      <xdr:colOff>313012</xdr:colOff>
      <xdr:row>7</xdr:row>
      <xdr:rowOff>130497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A8D27F-3DD2-4C3D-9BC0-3CACF4C7B93A}"/>
            </a:ext>
          </a:extLst>
        </xdr:cNvPr>
        <xdr:cNvSpPr txBox="1"/>
      </xdr:nvSpPr>
      <xdr:spPr>
        <a:xfrm>
          <a:off x="7442504" y="1236994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d2 = 0.16</a:t>
          </a:r>
        </a:p>
      </xdr:txBody>
    </xdr:sp>
    <xdr:clientData/>
  </xdr:twoCellAnchor>
  <xdr:twoCellAnchor>
    <xdr:from>
      <xdr:col>12</xdr:col>
      <xdr:colOff>168827</xdr:colOff>
      <xdr:row>2</xdr:row>
      <xdr:rowOff>111789</xdr:rowOff>
    </xdr:from>
    <xdr:to>
      <xdr:col>13</xdr:col>
      <xdr:colOff>362748</xdr:colOff>
      <xdr:row>3</xdr:row>
      <xdr:rowOff>185935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468354-62B0-4BE5-A3E0-2D65A415154E}"/>
            </a:ext>
          </a:extLst>
        </xdr:cNvPr>
        <xdr:cNvSpPr txBox="1"/>
      </xdr:nvSpPr>
      <xdr:spPr>
        <a:xfrm>
          <a:off x="7492240" y="539558"/>
          <a:ext cx="804206" cy="262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FF0000"/>
              </a:solidFill>
            </a:rPr>
            <a:t>d3 = 0.20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9CAA-8CD6-4513-9379-7526EF1B8D10}">
  <dimension ref="A1:E59"/>
  <sheetViews>
    <sheetView tabSelected="1" topLeftCell="A42" zoomScale="167" workbookViewId="0">
      <selection activeCell="F57" sqref="F57"/>
    </sheetView>
  </sheetViews>
  <sheetFormatPr defaultRowHeight="15" x14ac:dyDescent="0.25"/>
  <cols>
    <col min="1" max="1" width="9.140625" style="3"/>
    <col min="2" max="5" width="9.140625" style="2"/>
    <col min="6" max="16384" width="9.140625" style="3"/>
  </cols>
  <sheetData>
    <row r="1" spans="1:5" ht="18.75" x14ac:dyDescent="0.3">
      <c r="A1" s="1" t="s">
        <v>0</v>
      </c>
    </row>
    <row r="2" spans="1:5" x14ac:dyDescent="0.25">
      <c r="B2" s="4" t="s">
        <v>1</v>
      </c>
      <c r="C2" s="2">
        <v>2768.5492800000002</v>
      </c>
      <c r="D2" s="2">
        <v>-1384.2746400000001</v>
      </c>
      <c r="E2" s="2">
        <v>0</v>
      </c>
    </row>
    <row r="3" spans="1:5" x14ac:dyDescent="0.25">
      <c r="B3" s="4" t="s">
        <v>2</v>
      </c>
      <c r="C3" s="2">
        <v>-1384.2746400000001</v>
      </c>
      <c r="D3" s="2">
        <v>2768.5492800000002</v>
      </c>
      <c r="E3" s="2">
        <v>-1384.2746400000001</v>
      </c>
    </row>
    <row r="4" spans="1:5" x14ac:dyDescent="0.25">
      <c r="B4" s="4" t="s">
        <v>3</v>
      </c>
      <c r="C4" s="2">
        <v>0</v>
      </c>
      <c r="D4" s="2">
        <v>-1384.2746400000001</v>
      </c>
      <c r="E4" s="2">
        <v>1384.2746400000001</v>
      </c>
    </row>
    <row r="5" spans="1:5" x14ac:dyDescent="0.25">
      <c r="B5" s="4"/>
      <c r="C5" s="4" t="s">
        <v>1</v>
      </c>
      <c r="D5" s="4" t="s">
        <v>2</v>
      </c>
      <c r="E5" s="4" t="s">
        <v>3</v>
      </c>
    </row>
    <row r="7" spans="1:5" x14ac:dyDescent="0.25">
      <c r="A7" s="5" t="s">
        <v>4</v>
      </c>
      <c r="B7" s="4" t="s">
        <v>1</v>
      </c>
      <c r="C7" s="2">
        <v>8.5</v>
      </c>
      <c r="D7" s="2">
        <v>0</v>
      </c>
      <c r="E7" s="2">
        <v>0</v>
      </c>
    </row>
    <row r="8" spans="1:5" x14ac:dyDescent="0.25">
      <c r="B8" s="4" t="s">
        <v>2</v>
      </c>
      <c r="C8" s="2">
        <v>0</v>
      </c>
      <c r="D8" s="2">
        <v>8.5</v>
      </c>
      <c r="E8" s="2">
        <v>0</v>
      </c>
    </row>
    <row r="9" spans="1:5" x14ac:dyDescent="0.25">
      <c r="B9" s="4" t="s">
        <v>3</v>
      </c>
      <c r="C9" s="2">
        <v>0</v>
      </c>
      <c r="D9" s="2">
        <v>0</v>
      </c>
      <c r="E9" s="2">
        <v>8.5</v>
      </c>
    </row>
    <row r="10" spans="1:5" x14ac:dyDescent="0.25">
      <c r="C10" s="4" t="s">
        <v>1</v>
      </c>
      <c r="D10" s="4" t="s">
        <v>2</v>
      </c>
      <c r="E10" s="4" t="s">
        <v>3</v>
      </c>
    </row>
    <row r="19" spans="1:3" x14ac:dyDescent="0.25">
      <c r="A19" s="5" t="s">
        <v>5</v>
      </c>
      <c r="C19" s="2" t="s">
        <v>6</v>
      </c>
    </row>
    <row r="20" spans="1:3" x14ac:dyDescent="0.25">
      <c r="B20" s="4" t="s">
        <v>7</v>
      </c>
      <c r="C20" s="2">
        <v>4.8279420000000002</v>
      </c>
    </row>
    <row r="21" spans="1:3" x14ac:dyDescent="0.25">
      <c r="B21" s="4" t="s">
        <v>8</v>
      </c>
      <c r="C21" s="2">
        <v>-1.3817969999999999</v>
      </c>
    </row>
    <row r="22" spans="1:3" x14ac:dyDescent="0.25">
      <c r="B22" s="4" t="s">
        <v>9</v>
      </c>
      <c r="C22" s="2">
        <v>-0.53066899999999995</v>
      </c>
    </row>
    <row r="24" spans="1:3" x14ac:dyDescent="0.25">
      <c r="A24" s="5" t="s">
        <v>10</v>
      </c>
      <c r="C24" s="2" t="s">
        <v>11</v>
      </c>
    </row>
    <row r="25" spans="1:3" x14ac:dyDescent="0.25">
      <c r="B25" s="4" t="s">
        <v>7</v>
      </c>
      <c r="C25" s="2">
        <v>91.407949000000002</v>
      </c>
    </row>
    <row r="26" spans="1:3" x14ac:dyDescent="0.25">
      <c r="B26" s="4" t="s">
        <v>8</v>
      </c>
      <c r="C26" s="2">
        <v>7.487698</v>
      </c>
    </row>
    <row r="27" spans="1:3" x14ac:dyDescent="0.25">
      <c r="B27" s="4" t="s">
        <v>9</v>
      </c>
      <c r="C27" s="2">
        <v>1.1043529999999999</v>
      </c>
    </row>
    <row r="29" spans="1:3" x14ac:dyDescent="0.25">
      <c r="A29" s="5" t="s">
        <v>12</v>
      </c>
      <c r="C29" s="2" t="s">
        <v>13</v>
      </c>
    </row>
    <row r="30" spans="1:3" x14ac:dyDescent="0.25">
      <c r="B30" s="4" t="s">
        <v>7</v>
      </c>
      <c r="C30" s="2">
        <v>91.407949000000002</v>
      </c>
    </row>
    <row r="31" spans="1:3" x14ac:dyDescent="0.25">
      <c r="B31" s="4" t="s">
        <v>8</v>
      </c>
      <c r="C31" s="2">
        <v>98.895646999999997</v>
      </c>
    </row>
    <row r="32" spans="1:3" x14ac:dyDescent="0.25">
      <c r="B32" s="4" t="s">
        <v>9</v>
      </c>
      <c r="C32" s="2">
        <v>100</v>
      </c>
    </row>
    <row r="34" spans="1:5" x14ac:dyDescent="0.25">
      <c r="A34" s="5" t="s">
        <v>17</v>
      </c>
    </row>
    <row r="35" spans="1:5" x14ac:dyDescent="0.25">
      <c r="C35" s="2" t="s">
        <v>14</v>
      </c>
      <c r="D35" s="2" t="s">
        <v>15</v>
      </c>
      <c r="E35" s="2" t="s">
        <v>16</v>
      </c>
    </row>
    <row r="36" spans="1:5" x14ac:dyDescent="0.25">
      <c r="B36" s="4" t="s">
        <v>1</v>
      </c>
      <c r="C36" s="2">
        <v>8.9691999999999994E-2</v>
      </c>
      <c r="D36" s="2">
        <v>1.7010999999999998E-2</v>
      </c>
      <c r="E36" s="2">
        <v>2.5089999999999999E-3</v>
      </c>
    </row>
    <row r="37" spans="1:5" x14ac:dyDescent="0.25">
      <c r="B37" s="4" t="s">
        <v>2</v>
      </c>
      <c r="C37" s="2">
        <v>0.16161900000000001</v>
      </c>
      <c r="D37" s="2">
        <v>7.5700000000000003E-3</v>
      </c>
      <c r="E37" s="2">
        <v>-3.1289999999999998E-3</v>
      </c>
    </row>
    <row r="38" spans="1:5" x14ac:dyDescent="0.25">
      <c r="B38" s="4" t="s">
        <v>3</v>
      </c>
      <c r="C38" s="2">
        <v>0.20153599999999999</v>
      </c>
      <c r="D38" s="2">
        <v>-1.3641E-2</v>
      </c>
      <c r="E38" s="2">
        <v>1.392E-3</v>
      </c>
    </row>
    <row r="41" spans="1:5" x14ac:dyDescent="0.25">
      <c r="A41" s="5" t="s">
        <v>21</v>
      </c>
    </row>
    <row r="42" spans="1:5" x14ac:dyDescent="0.25">
      <c r="C42" s="4" t="s">
        <v>18</v>
      </c>
      <c r="D42" s="4" t="s">
        <v>19</v>
      </c>
      <c r="E42" s="4" t="s">
        <v>20</v>
      </c>
    </row>
    <row r="43" spans="1:5" x14ac:dyDescent="0.25">
      <c r="B43" s="4" t="s">
        <v>1</v>
      </c>
      <c r="C43" s="2">
        <v>4.6840099999999998</v>
      </c>
      <c r="D43" s="2">
        <v>6.9743110000000001</v>
      </c>
      <c r="E43" s="2">
        <v>2.1479379999999999</v>
      </c>
    </row>
    <row r="44" spans="1:5" x14ac:dyDescent="0.25">
      <c r="B44" s="4" t="s">
        <v>2</v>
      </c>
      <c r="C44" s="2">
        <v>8.4402950000000008</v>
      </c>
      <c r="D44" s="2">
        <v>3.1038600000000001</v>
      </c>
      <c r="E44" s="2">
        <v>-2.6784349999999999</v>
      </c>
    </row>
    <row r="45" spans="1:5" x14ac:dyDescent="0.25">
      <c r="B45" s="4" t="s">
        <v>3</v>
      </c>
      <c r="C45" s="2">
        <v>10.524875</v>
      </c>
      <c r="D45" s="2">
        <v>-5.5929630000000001</v>
      </c>
      <c r="E45" s="2">
        <v>1.192016</v>
      </c>
    </row>
    <row r="48" spans="1:5" x14ac:dyDescent="0.25">
      <c r="C48" s="3" t="s">
        <v>22</v>
      </c>
      <c r="D48" s="3" t="s">
        <v>23</v>
      </c>
    </row>
    <row r="49" spans="2:4" x14ac:dyDescent="0.25">
      <c r="B49" s="2" t="s">
        <v>1</v>
      </c>
      <c r="C49" s="2">
        <v>8.9691999999999994E-2</v>
      </c>
      <c r="D49" s="2">
        <v>4.6840099999999998</v>
      </c>
    </row>
    <row r="50" spans="2:4" x14ac:dyDescent="0.25">
      <c r="B50" s="2" t="s">
        <v>2</v>
      </c>
      <c r="C50" s="2">
        <v>0.16161900000000001</v>
      </c>
      <c r="D50" s="2">
        <v>8.4402950000000008</v>
      </c>
    </row>
    <row r="51" spans="2:4" x14ac:dyDescent="0.25">
      <c r="B51" s="2" t="s">
        <v>3</v>
      </c>
      <c r="C51" s="2">
        <v>0.20153599999999999</v>
      </c>
      <c r="D51" s="2">
        <v>10.524875</v>
      </c>
    </row>
    <row r="53" spans="2:4" x14ac:dyDescent="0.25">
      <c r="C53" s="3" t="s">
        <v>24</v>
      </c>
      <c r="D53" s="3" t="s">
        <v>25</v>
      </c>
    </row>
    <row r="54" spans="2:4" x14ac:dyDescent="0.25">
      <c r="B54" s="2" t="s">
        <v>1</v>
      </c>
      <c r="C54" s="2">
        <v>9.1325000000000003E-2</v>
      </c>
      <c r="D54" s="2">
        <v>8.6714819999999992</v>
      </c>
    </row>
    <row r="55" spans="2:4" x14ac:dyDescent="0.25">
      <c r="B55" s="2" t="s">
        <v>2</v>
      </c>
      <c r="C55" s="2">
        <v>0.161827</v>
      </c>
      <c r="D55" s="2">
        <v>9.3833120000000001</v>
      </c>
    </row>
    <row r="56" spans="2:4" x14ac:dyDescent="0.25">
      <c r="B56" s="2" t="s">
        <v>3</v>
      </c>
      <c r="C56" s="2">
        <v>0.20200199999999999</v>
      </c>
      <c r="D56" s="2">
        <v>11.978111</v>
      </c>
    </row>
    <row r="58" spans="2:4" x14ac:dyDescent="0.25">
      <c r="B58" s="2" t="s">
        <v>26</v>
      </c>
      <c r="C58" s="2">
        <f>+SUM(D49:D51)</f>
        <v>23.649180000000001</v>
      </c>
    </row>
    <row r="59" spans="2:4" x14ac:dyDescent="0.25">
      <c r="B59" s="2" t="s">
        <v>27</v>
      </c>
      <c r="C59" s="2">
        <f>+SUM(D54:D56)</f>
        <v>30.032905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2026-05-29T16:45:37Z</dcterms:created>
  <dcterms:modified xsi:type="dcterms:W3CDTF">2026-06-01T15:38:14Z</dcterms:modified>
</cp:coreProperties>
</file>